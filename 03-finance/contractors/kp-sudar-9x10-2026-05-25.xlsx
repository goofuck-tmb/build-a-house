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 tabRatio="500"/>
  </bookViews>
  <sheets>
    <sheet name="KP" sheetId="1" r:id="rId1"/>
  </sheets>
  <definedNames>
    <definedName name="_xlnm.Print_Area" localSheetId="0">KP!$A$1:$D$84</definedName>
  </definedNames>
  <calcPr calcId="162913"/>
</workbook>
</file>

<file path=xl/calcChain.xml><?xml version="1.0" encoding="utf-8"?>
<calcChain xmlns="http://schemas.openxmlformats.org/spreadsheetml/2006/main">
  <c r="D83" i="1" l="1"/>
  <c r="D82" i="1"/>
  <c r="D81" i="1"/>
  <c r="D77" i="1"/>
  <c r="D56" i="1"/>
  <c r="D28" i="1"/>
</calcChain>
</file>

<file path=xl/sharedStrings.xml><?xml version="1.0" encoding="utf-8"?>
<sst xmlns="http://schemas.openxmlformats.org/spreadsheetml/2006/main" count="95" uniqueCount="90">
  <si>
    <t>https://sdom36.ru/karkasnye-doma/sudar/</t>
  </si>
  <si>
    <t xml:space="preserve"> </t>
  </si>
  <si>
    <t>Коммерческое предложение от 25.05.2026</t>
  </si>
  <si>
    <t>Каркасный дом Сударь 9х10, комплектация ПМЖ</t>
  </si>
  <si>
    <t>№ П/П</t>
  </si>
  <si>
    <t>СПЕЦИФИКАЦИЯ КОМПЛЕКТАЦИИ "ПМЖ"</t>
  </si>
  <si>
    <t>ЦЕНА</t>
  </si>
  <si>
    <t>Комплектация</t>
  </si>
  <si>
    <t>ПМЖ</t>
  </si>
  <si>
    <t>Сборка</t>
  </si>
  <si>
    <t>Включена в стоимость</t>
  </si>
  <si>
    <t>Основание дома (обвязка в во всех направлениях и по кругу)</t>
  </si>
  <si>
    <t>Брус 150х150мм</t>
  </si>
  <si>
    <t>Лаги пола</t>
  </si>
  <si>
    <t>Из доски 40х200мм с расстоянием между лагами 590мм</t>
  </si>
  <si>
    <t>Пол черновой</t>
  </si>
  <si>
    <t>Обрезная доска 100*20 мм  - первый сорт</t>
  </si>
  <si>
    <t>Сетка от грызунов</t>
  </si>
  <si>
    <t>входит в стоимость</t>
  </si>
  <si>
    <t>Пол предчистовой 1-2 этажа</t>
  </si>
  <si>
    <t>Шпунтованная доска пола 36мм камерной сушки</t>
  </si>
  <si>
    <t>Высота потолка</t>
  </si>
  <si>
    <t>1 этаж-2.5 м,2 этаж-2.4 м</t>
  </si>
  <si>
    <t>Стены наружные</t>
  </si>
  <si>
    <t>Каркасные, имитация бруса AB - снаружи, евровагонка класса АБ (3 метра) - внутри. Утепление-200мм.</t>
  </si>
  <si>
    <t>Перегородки</t>
  </si>
  <si>
    <t>Каркасные. По стенам подшита евровагонка класса AB (3 метра). Утепление-100мм.</t>
  </si>
  <si>
    <t>Вент зазор на кровлю</t>
  </si>
  <si>
    <t>да</t>
  </si>
  <si>
    <t>Вент зазор на фасад</t>
  </si>
  <si>
    <t>Вент. решетки на фронтоны</t>
  </si>
  <si>
    <t>2 шт</t>
  </si>
  <si>
    <t>Крыша</t>
  </si>
  <si>
    <t>Стропила-40х150мм. Обрешётка из доски 22-25мм. по паро-гидроизоляции.</t>
  </si>
  <si>
    <t>Покрытие кровли</t>
  </si>
  <si>
    <t>Кровля- металлочерепица с ветровыми планками</t>
  </si>
  <si>
    <t>Карнизная полка</t>
  </si>
  <si>
    <t>360 мм</t>
  </si>
  <si>
    <t>Водосточная система ПВХ</t>
  </si>
  <si>
    <t>Лестница</t>
  </si>
  <si>
    <t>Деревянная лестница из обрезной доски.</t>
  </si>
  <si>
    <t>Окна: 1000х1200 -&gt; 3 шт, 600х1200 -&gt; 2шт, 500х500 -&gt; 2 шт, 1000*1200 (со скосом)  -&gt; 3 шт, входная группа ПВХ 800*2000  -&gt; 2 шт</t>
  </si>
  <si>
    <t>ПВХ двухкамерные, цвет белый, поворотный механизм</t>
  </si>
  <si>
    <t xml:space="preserve">Металлические отливы на окна </t>
  </si>
  <si>
    <t>включено</t>
  </si>
  <si>
    <t>Двери межкомнатные</t>
  </si>
  <si>
    <t>Деревянные филенчатые</t>
  </si>
  <si>
    <t>Дверь входная</t>
  </si>
  <si>
    <t>Металлическая (Россия)</t>
  </si>
  <si>
    <t xml:space="preserve">Терраса - 26 кв.м. </t>
  </si>
  <si>
    <t>Обшить столбы имитацией бруса</t>
  </si>
  <si>
    <t>Итого за домокомплект</t>
  </si>
  <si>
    <t>ДОПОЛНИТЕЛЬНЫЕ ОПЦИИ</t>
  </si>
  <si>
    <t>АКЦИЯ</t>
  </si>
  <si>
    <t>Обработка основания и каркаса дома антисептиком "НЕОМИД" (СВАИ В ПОДАРОК 108х2500: 42)</t>
  </si>
  <si>
    <t>Терраса / УВЕЛИЧЕНИЕ ТЕРРАСЫ</t>
  </si>
  <si>
    <t>Сваи на веранду 108х2500мм с установкой и смесью</t>
  </si>
  <si>
    <t>Терраса зима/ПМЖ (1 м2 - 14500 р)</t>
  </si>
  <si>
    <t>Обшивка столбов имитацией бруса</t>
  </si>
  <si>
    <t>ПОТОЛОК 1 этаж</t>
  </si>
  <si>
    <t>Увеличение потолка +100 мм</t>
  </si>
  <si>
    <t>ПОТОЛОК 2 этаж</t>
  </si>
  <si>
    <t>ПЕРЕГОРОДКИ,ДВЕРИ</t>
  </si>
  <si>
    <t>Дверь металлическая с терморазрывом (цвет на выбор)</t>
  </si>
  <si>
    <t>ВНУТРЕННЯЯ ОТДЕЛКА</t>
  </si>
  <si>
    <t>Изменение на имитацию бруса класса "А-В"</t>
  </si>
  <si>
    <t>ФУНДАМЕНТ</t>
  </si>
  <si>
    <t>Обвязка свайного фундамента профильной трубой 40х20 в два ряда</t>
  </si>
  <si>
    <t>Цокольный сайдинг Альтапрофиль, высота 400мм</t>
  </si>
  <si>
    <t>ДОПЫ ПО СП</t>
  </si>
  <si>
    <t>Проклеивание пленок влаго/парозащиты на ленту, вместо нахлеста. Наружные стены с внутренней стороны и перекрытие верхнего этажа и полы дома</t>
  </si>
  <si>
    <t>Усиление крыши. Монтаж на уголки с запилом. Установка капельников и проклейка уплотнителем под конек</t>
  </si>
  <si>
    <t>ДОПОЛНИТЕЛЬНО</t>
  </si>
  <si>
    <t>Аренда бытовки</t>
  </si>
  <si>
    <t>Доставка входит в стоимость</t>
  </si>
  <si>
    <t>ОКНА (Установка дополнительных окон в конструкции дома)</t>
  </si>
  <si>
    <t>Изменение профиля на Rehau</t>
  </si>
  <si>
    <t>Ламинация всех базовых окон</t>
  </si>
  <si>
    <t>Поворотно-откидной механизм</t>
  </si>
  <si>
    <t>Москитная сетка</t>
  </si>
  <si>
    <t>дверь металлическая стандарт</t>
  </si>
  <si>
    <t>ИТОГО ПОД КЛЮЧ</t>
  </si>
  <si>
    <t>Также сообщаем, что цены на изделие действительны на момент выставления коммерческого предложения за наличный расчет. Стоимость изделий актуальна на дату коммерческого предложения и при изменении цен на сырье, может корректироваться.</t>
  </si>
  <si>
    <t>СХЕМА ПЛАТЕЖЕЙ</t>
  </si>
  <si>
    <t xml:space="preserve">1 этап  -15% </t>
  </si>
  <si>
    <t>предоплата при заключении договора</t>
  </si>
  <si>
    <t>производится в день доставки домокомплекта и заезда рабочих на участок заказчика</t>
  </si>
  <si>
    <t>после подписания Акта выполненных работ.</t>
  </si>
  <si>
    <t>2 этап - 80%</t>
  </si>
  <si>
    <t>3 этап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</si>
</sst>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₽&quot;"/>
    <numFmt numFmtId="165" formatCode="#,##0.00&quot; ₽&quot;"/>
  </numFmts>
  <fonts count="11" x14ac:knownFonts="1">
    <font>
      <sz val="11"/>
      <color rgb="FF000000"/>
      <name val="Calibri"/>
    </font>
    <font>
      <sz val="12"/>
      <color rgb="FF000000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Times New Roman"/>
    </font>
    <font>
      <u/>
      <sz val="14"/>
      <color rgb="FF0000FF"/>
      <name val="Calibri"/>
    </font>
    <font>
      <b/>
      <sz val="22"/>
      <color rgb="FF000000"/>
      <name val="Times New Roman"/>
    </font>
    <font>
      <b/>
      <sz val="20"/>
      <color rgb="FF000000"/>
      <name val="Times New Roman"/>
    </font>
    <font>
      <b/>
      <sz val="36"/>
      <color rgb="FF000000"/>
      <name val="Times New Roman"/>
    </font>
    <font>
      <sz val="14"/>
      <color rgb="FF000000"/>
      <name val="Times New Roman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164" fontId="8" fillId="0" borderId="0" xfId="0" applyNumberFormat="1" applyFont="1"/>
    <xf numFmtId="0" fontId="3" fillId="2" borderId="6" xfId="0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165" fontId="1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9" fillId="2" borderId="9" xfId="0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0" fontId="10" fillId="0" borderId="0" xfId="0" applyFont="1"/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</xdr:col>
      <xdr:colOff>19050</xdr:colOff>
      <xdr:row>3</xdr:row>
      <xdr:rowOff>85725</xdr:rowOff>
    </xdr:to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1465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38100</xdr:rowOff>
    </xdr:from>
    <xdr:to>
      <xdr:col>2</xdr:col>
      <xdr:colOff>3133725</xdr:colOff>
      <xdr:row>25</xdr:row>
      <xdr:rowOff>76200</xdr:rowOff>
    </xdr:to>
    <xdr:pic>
      <xdr:nvPicPr>
        <xdr:cNvPr id="3" name="Рисунок 14" descr="https://dom-moskva.ru/upload/iblock/e10/e1083494947b060064af6251e08ad9e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19800" cy="3857625"/>
        </a:xfrm>
        <a:prstGeom prst="rect">
          <a:avLst/>
        </a:prstGeom>
      </xdr:spPr>
    </xdr:pic>
    <xdr:clientData/>
  </xdr:twoCellAnchor>
  <xdr:twoCellAnchor editAs="oneCell">
    <xdr:from>
      <xdr:col>2</xdr:col>
      <xdr:colOff>3009900</xdr:colOff>
      <xdr:row>3</xdr:row>
      <xdr:rowOff>47625</xdr:rowOff>
    </xdr:from>
    <xdr:to>
      <xdr:col>3</xdr:col>
      <xdr:colOff>2028825</xdr:colOff>
      <xdr:row>16</xdr:row>
      <xdr:rowOff>95250</xdr:rowOff>
    </xdr:to>
    <xdr:pic>
      <xdr:nvPicPr>
        <xdr:cNvPr id="4" name="Рисунок 15" descr="https://dom-moskva.ru/upload/iblock/b9e/b9e1485139997f79760cc9c2570d788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981325" cy="2514600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2971800</xdr:colOff>
      <xdr:row>15</xdr:row>
      <xdr:rowOff>152400</xdr:rowOff>
    </xdr:from>
    <xdr:to>
      <xdr:col>3</xdr:col>
      <xdr:colOff>1933575</xdr:colOff>
      <xdr:row>26</xdr:row>
      <xdr:rowOff>38100</xdr:rowOff>
    </xdr:to>
    <xdr:pic>
      <xdr:nvPicPr>
        <xdr:cNvPr id="5" name="Рисунок 16" descr="https://dom-moskva.ru/upload/iblock/fa2/fa2c4325cbed6799f193dc1cf9f9a66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92417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dom36.ru/karkasnye-doma/sud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4"/>
  <sheetViews>
    <sheetView tabSelected="1" workbookViewId="0">
      <selection activeCell="G85" sqref="G85"/>
    </sheetView>
  </sheetViews>
  <sheetFormatPr defaultColWidth="8.6640625" defaultRowHeight="14.4" x14ac:dyDescent="0.3"/>
  <cols>
    <col min="1" max="1" width="7.33203125" customWidth="1"/>
    <col min="2" max="2" width="33.6640625" customWidth="1"/>
    <col min="3" max="3" width="56.33203125" customWidth="1"/>
    <col min="4" max="4" width="43" customWidth="1"/>
  </cols>
  <sheetData>
    <row r="1" spans="1:4" ht="15.75" customHeight="1" x14ac:dyDescent="0.3">
      <c r="A1" s="1"/>
      <c r="B1" s="2"/>
      <c r="D1" s="3"/>
    </row>
    <row r="2" spans="1:4" ht="18.75" customHeight="1" x14ac:dyDescent="0.35">
      <c r="A2" s="1"/>
      <c r="B2" s="2"/>
      <c r="C2" s="4" t="s">
        <v>0</v>
      </c>
      <c r="D2" s="3"/>
    </row>
    <row r="3" spans="1:4" x14ac:dyDescent="0.3">
      <c r="A3" s="1"/>
      <c r="B3" s="2"/>
      <c r="C3" s="2" t="s">
        <v>1</v>
      </c>
    </row>
    <row r="4" spans="1:4" x14ac:dyDescent="0.3">
      <c r="A4" s="1"/>
      <c r="B4" s="2"/>
      <c r="C4" s="2"/>
      <c r="D4" s="5"/>
    </row>
    <row r="5" spans="1:4" x14ac:dyDescent="0.3">
      <c r="A5" s="1"/>
      <c r="B5" s="2"/>
      <c r="C5" s="2"/>
      <c r="D5" s="5"/>
    </row>
    <row r="6" spans="1:4" x14ac:dyDescent="0.3">
      <c r="A6" s="1"/>
      <c r="B6" s="2"/>
      <c r="C6" s="2"/>
      <c r="D6" s="5"/>
    </row>
    <row r="7" spans="1:4" x14ac:dyDescent="0.3">
      <c r="A7" s="1"/>
      <c r="B7" s="2"/>
      <c r="C7" s="2"/>
      <c r="D7" s="5"/>
    </row>
    <row r="8" spans="1:4" x14ac:dyDescent="0.3">
      <c r="A8" s="1"/>
      <c r="B8" s="2"/>
      <c r="C8" s="2"/>
      <c r="D8" s="5"/>
    </row>
    <row r="9" spans="1:4" x14ac:dyDescent="0.3">
      <c r="A9" s="1"/>
      <c r="B9" s="2"/>
      <c r="C9" s="2"/>
      <c r="D9" s="5"/>
    </row>
    <row r="10" spans="1:4" x14ac:dyDescent="0.3">
      <c r="A10" s="1"/>
      <c r="B10" s="2"/>
      <c r="C10" s="2"/>
      <c r="D10" s="5"/>
    </row>
    <row r="11" spans="1:4" x14ac:dyDescent="0.3">
      <c r="A11" s="1"/>
      <c r="B11" s="2"/>
      <c r="C11" s="2"/>
      <c r="D11" s="5"/>
    </row>
    <row r="12" spans="1:4" x14ac:dyDescent="0.3">
      <c r="A12" s="1"/>
      <c r="B12" s="2"/>
      <c r="C12" s="2"/>
      <c r="D12" s="5"/>
    </row>
    <row r="13" spans="1:4" x14ac:dyDescent="0.3">
      <c r="A13" s="1"/>
      <c r="B13" s="2"/>
      <c r="C13" s="2"/>
      <c r="D13" s="5"/>
    </row>
    <row r="14" spans="1:4" x14ac:dyDescent="0.3">
      <c r="A14" s="1"/>
      <c r="B14" s="2"/>
      <c r="C14" s="2"/>
      <c r="D14" s="5"/>
    </row>
    <row r="15" spans="1:4" x14ac:dyDescent="0.3">
      <c r="A15" s="1"/>
      <c r="B15" s="2"/>
      <c r="C15" s="2"/>
      <c r="D15" s="5"/>
    </row>
    <row r="16" spans="1:4" x14ac:dyDescent="0.3">
      <c r="A16" s="1"/>
      <c r="B16" s="2"/>
      <c r="C16" s="2"/>
      <c r="D16" s="5"/>
    </row>
    <row r="17" spans="1:4" x14ac:dyDescent="0.3">
      <c r="A17" s="1"/>
      <c r="B17" s="2"/>
      <c r="C17" s="2"/>
      <c r="D17" s="5"/>
    </row>
    <row r="18" spans="1:4" x14ac:dyDescent="0.3">
      <c r="A18" s="1"/>
      <c r="B18" s="2"/>
      <c r="C18" s="2"/>
      <c r="D18" s="5"/>
    </row>
    <row r="19" spans="1:4" x14ac:dyDescent="0.3">
      <c r="A19" s="1"/>
      <c r="B19" s="2"/>
      <c r="C19" s="2"/>
      <c r="D19" s="5"/>
    </row>
    <row r="20" spans="1:4" x14ac:dyDescent="0.3">
      <c r="A20" s="1"/>
      <c r="B20" s="2"/>
      <c r="C20" s="2"/>
      <c r="D20" s="5"/>
    </row>
    <row r="21" spans="1:4" x14ac:dyDescent="0.3">
      <c r="A21" s="1"/>
      <c r="B21" s="2"/>
      <c r="C21" s="2"/>
      <c r="D21" s="5"/>
    </row>
    <row r="22" spans="1:4" x14ac:dyDescent="0.3">
      <c r="A22" s="1"/>
      <c r="B22" s="2"/>
      <c r="C22" s="2"/>
      <c r="D22" s="5"/>
    </row>
    <row r="23" spans="1:4" x14ac:dyDescent="0.3">
      <c r="A23" s="1"/>
      <c r="B23" s="2"/>
      <c r="C23" s="2"/>
      <c r="D23" s="5"/>
    </row>
    <row r="24" spans="1:4" x14ac:dyDescent="0.3">
      <c r="A24" s="1"/>
      <c r="B24" s="2"/>
      <c r="C24" s="2"/>
      <c r="D24" s="5"/>
    </row>
    <row r="25" spans="1:4" x14ac:dyDescent="0.3">
      <c r="A25" s="1"/>
      <c r="B25" s="2"/>
      <c r="C25" s="2"/>
      <c r="D25" s="5"/>
    </row>
    <row r="26" spans="1:4" x14ac:dyDescent="0.3">
      <c r="A26" s="1"/>
      <c r="B26" s="2"/>
      <c r="C26" s="2"/>
      <c r="D26" s="5"/>
    </row>
    <row r="27" spans="1:4" ht="27" customHeight="1" x14ac:dyDescent="0.45">
      <c r="A27" s="6" t="s">
        <v>2</v>
      </c>
      <c r="B27" s="6"/>
      <c r="C27" s="6"/>
      <c r="D27" s="6"/>
    </row>
    <row r="28" spans="1:4" ht="45" customHeight="1" x14ac:dyDescent="0.75">
      <c r="A28" s="7" t="s">
        <v>3</v>
      </c>
      <c r="B28" s="8"/>
      <c r="C28" s="8"/>
      <c r="D28" s="9">
        <f>D77</f>
        <v>5674040</v>
      </c>
    </row>
    <row r="29" spans="1:4" x14ac:dyDescent="0.3">
      <c r="A29" s="1"/>
      <c r="B29" s="2"/>
      <c r="C29" s="2"/>
      <c r="D29" s="5"/>
    </row>
    <row r="30" spans="1:4" ht="35.25" customHeight="1" x14ac:dyDescent="0.3">
      <c r="A30" s="10" t="s">
        <v>4</v>
      </c>
      <c r="B30" s="30" t="s">
        <v>5</v>
      </c>
      <c r="C30" s="30"/>
      <c r="D30" s="11" t="s">
        <v>6</v>
      </c>
    </row>
    <row r="31" spans="1:4" ht="15.75" customHeight="1" x14ac:dyDescent="0.3">
      <c r="A31" s="31">
        <v>1</v>
      </c>
      <c r="B31" s="29"/>
      <c r="C31" s="29"/>
      <c r="D31" s="12">
        <v>4147900</v>
      </c>
    </row>
    <row r="32" spans="1:4" ht="15.75" customHeight="1" x14ac:dyDescent="0.3">
      <c r="A32" s="31"/>
      <c r="B32" s="13" t="s">
        <v>7</v>
      </c>
      <c r="C32" s="13" t="s">
        <v>8</v>
      </c>
      <c r="D32" s="14"/>
    </row>
    <row r="33" spans="1:4" ht="15.75" customHeight="1" x14ac:dyDescent="0.3">
      <c r="A33" s="31"/>
      <c r="B33" s="13" t="s">
        <v>9</v>
      </c>
      <c r="C33" s="13" t="s">
        <v>10</v>
      </c>
      <c r="D33" s="14"/>
    </row>
    <row r="34" spans="1:4" ht="15.75" customHeight="1" x14ac:dyDescent="0.3">
      <c r="A34" s="31"/>
      <c r="B34" s="13" t="s">
        <v>11</v>
      </c>
      <c r="C34" s="13" t="s">
        <v>12</v>
      </c>
      <c r="D34" s="14"/>
    </row>
    <row r="35" spans="1:4" ht="15.75" customHeight="1" x14ac:dyDescent="0.3">
      <c r="A35" s="31"/>
      <c r="B35" s="13" t="s">
        <v>13</v>
      </c>
      <c r="C35" s="13" t="s">
        <v>14</v>
      </c>
      <c r="D35" s="14"/>
    </row>
    <row r="36" spans="1:4" ht="15.75" customHeight="1" x14ac:dyDescent="0.3">
      <c r="A36" s="31"/>
      <c r="B36" s="13" t="s">
        <v>15</v>
      </c>
      <c r="C36" s="13" t="s">
        <v>16</v>
      </c>
      <c r="D36" s="14"/>
    </row>
    <row r="37" spans="1:4" ht="15.75" customHeight="1" x14ac:dyDescent="0.3">
      <c r="A37" s="31"/>
      <c r="B37" s="13" t="s">
        <v>17</v>
      </c>
      <c r="C37" s="13" t="s">
        <v>18</v>
      </c>
      <c r="D37" s="14"/>
    </row>
    <row r="38" spans="1:4" ht="15.75" customHeight="1" x14ac:dyDescent="0.3">
      <c r="A38" s="31"/>
      <c r="B38" s="13" t="s">
        <v>19</v>
      </c>
      <c r="C38" s="13" t="s">
        <v>20</v>
      </c>
      <c r="D38" s="14"/>
    </row>
    <row r="39" spans="1:4" ht="15.75" customHeight="1" x14ac:dyDescent="0.3">
      <c r="A39" s="31"/>
      <c r="B39" s="13" t="s">
        <v>21</v>
      </c>
      <c r="C39" s="13" t="s">
        <v>22</v>
      </c>
      <c r="D39" s="14"/>
    </row>
    <row r="40" spans="1:4" ht="36.450000000000003" customHeight="1" x14ac:dyDescent="0.3">
      <c r="A40" s="31"/>
      <c r="B40" s="13" t="s">
        <v>23</v>
      </c>
      <c r="C40" s="13" t="s">
        <v>24</v>
      </c>
      <c r="D40" s="14"/>
    </row>
    <row r="41" spans="1:4" ht="31.8" customHeight="1" x14ac:dyDescent="0.3">
      <c r="A41" s="31"/>
      <c r="B41" s="13" t="s">
        <v>25</v>
      </c>
      <c r="C41" s="13" t="s">
        <v>26</v>
      </c>
      <c r="D41" s="14"/>
    </row>
    <row r="42" spans="1:4" ht="15.75" customHeight="1" x14ac:dyDescent="0.3">
      <c r="A42" s="31"/>
      <c r="B42" s="13" t="s">
        <v>27</v>
      </c>
      <c r="C42" s="13" t="s">
        <v>28</v>
      </c>
      <c r="D42" s="14"/>
    </row>
    <row r="43" spans="1:4" ht="15.75" customHeight="1" x14ac:dyDescent="0.3">
      <c r="A43" s="31"/>
      <c r="B43" s="13" t="s">
        <v>29</v>
      </c>
      <c r="C43" s="13" t="s">
        <v>28</v>
      </c>
      <c r="D43" s="14"/>
    </row>
    <row r="44" spans="1:4" ht="15.75" customHeight="1" x14ac:dyDescent="0.3">
      <c r="A44" s="31"/>
      <c r="B44" s="13" t="s">
        <v>30</v>
      </c>
      <c r="C44" s="13" t="s">
        <v>31</v>
      </c>
      <c r="D44" s="14"/>
    </row>
    <row r="45" spans="1:4" ht="29.25" customHeight="1" x14ac:dyDescent="0.3">
      <c r="A45" s="31"/>
      <c r="B45" s="13" t="s">
        <v>32</v>
      </c>
      <c r="C45" s="13" t="s">
        <v>33</v>
      </c>
      <c r="D45" s="14"/>
    </row>
    <row r="46" spans="1:4" ht="15.75" customHeight="1" x14ac:dyDescent="0.3">
      <c r="A46" s="31"/>
      <c r="B46" s="13" t="s">
        <v>34</v>
      </c>
      <c r="C46" s="13" t="s">
        <v>35</v>
      </c>
      <c r="D46" s="14"/>
    </row>
    <row r="47" spans="1:4" ht="15.75" customHeight="1" x14ac:dyDescent="0.3">
      <c r="A47" s="31"/>
      <c r="B47" s="13" t="s">
        <v>36</v>
      </c>
      <c r="C47" s="13" t="s">
        <v>37</v>
      </c>
      <c r="D47" s="14"/>
    </row>
    <row r="48" spans="1:4" ht="15.75" customHeight="1" x14ac:dyDescent="0.3">
      <c r="A48" s="31"/>
      <c r="B48" s="13" t="s">
        <v>38</v>
      </c>
      <c r="C48" s="13" t="s">
        <v>18</v>
      </c>
      <c r="D48" s="14"/>
    </row>
    <row r="49" spans="1:4" ht="15.75" customHeight="1" x14ac:dyDescent="0.3">
      <c r="A49" s="31"/>
      <c r="B49" s="13" t="s">
        <v>39</v>
      </c>
      <c r="C49" s="13" t="s">
        <v>40</v>
      </c>
      <c r="D49" s="14"/>
    </row>
    <row r="50" spans="1:4" ht="56.4" customHeight="1" x14ac:dyDescent="0.3">
      <c r="A50" s="31"/>
      <c r="B50" s="13" t="s">
        <v>41</v>
      </c>
      <c r="C50" s="13" t="s">
        <v>42</v>
      </c>
      <c r="D50" s="14"/>
    </row>
    <row r="51" spans="1:4" ht="15.75" customHeight="1" x14ac:dyDescent="0.3">
      <c r="A51" s="31"/>
      <c r="B51" s="13" t="s">
        <v>43</v>
      </c>
      <c r="C51" s="13" t="s">
        <v>44</v>
      </c>
      <c r="D51" s="14"/>
    </row>
    <row r="52" spans="1:4" ht="15.75" customHeight="1" x14ac:dyDescent="0.3">
      <c r="A52" s="31"/>
      <c r="B52" s="13" t="s">
        <v>45</v>
      </c>
      <c r="C52" s="13" t="s">
        <v>46</v>
      </c>
      <c r="D52" s="14"/>
    </row>
    <row r="53" spans="1:4" ht="15.75" customHeight="1" x14ac:dyDescent="0.3">
      <c r="A53" s="31"/>
      <c r="B53" s="13" t="s">
        <v>47</v>
      </c>
      <c r="C53" s="13" t="s">
        <v>48</v>
      </c>
      <c r="D53" s="14"/>
    </row>
    <row r="54" spans="1:4" ht="15.75" customHeight="1" x14ac:dyDescent="0.3">
      <c r="A54" s="31"/>
      <c r="B54" s="13" t="s">
        <v>49</v>
      </c>
      <c r="C54" s="13" t="s">
        <v>18</v>
      </c>
      <c r="D54" s="14"/>
    </row>
    <row r="55" spans="1:4" ht="15.75" customHeight="1" x14ac:dyDescent="0.3">
      <c r="A55" s="31"/>
      <c r="B55" s="13" t="s">
        <v>50</v>
      </c>
      <c r="C55" s="13" t="s">
        <v>28</v>
      </c>
      <c r="D55" s="14"/>
    </row>
    <row r="56" spans="1:4" ht="19.5" customHeight="1" x14ac:dyDescent="0.3">
      <c r="A56" s="15"/>
      <c r="B56" s="32" t="s">
        <v>51</v>
      </c>
      <c r="C56" s="32"/>
      <c r="D56" s="16">
        <f>SUM(D31:D55)</f>
        <v>4147900</v>
      </c>
    </row>
    <row r="57" spans="1:4" ht="33.75" customHeight="1" x14ac:dyDescent="0.3">
      <c r="A57" s="17">
        <v>2</v>
      </c>
      <c r="B57" s="33" t="s">
        <v>52</v>
      </c>
      <c r="C57" s="33"/>
      <c r="D57" s="18"/>
    </row>
    <row r="58" spans="1:4" ht="35.4" customHeight="1" x14ac:dyDescent="0.3">
      <c r="A58" s="26"/>
      <c r="B58" s="34" t="s">
        <v>53</v>
      </c>
      <c r="C58" s="20" t="s">
        <v>54</v>
      </c>
      <c r="D58" s="12">
        <v>331800</v>
      </c>
    </row>
    <row r="59" spans="1:4" ht="25.05" customHeight="1" x14ac:dyDescent="0.3">
      <c r="A59" s="26"/>
      <c r="B59" s="34" t="s">
        <v>55</v>
      </c>
      <c r="C59" s="20" t="s">
        <v>56</v>
      </c>
      <c r="D59" s="12">
        <v>31600</v>
      </c>
    </row>
    <row r="60" spans="1:4" ht="15.75" customHeight="1" x14ac:dyDescent="0.3">
      <c r="A60" s="26"/>
      <c r="B60" s="34"/>
      <c r="C60" s="20" t="s">
        <v>57</v>
      </c>
      <c r="D60" s="12">
        <v>87000</v>
      </c>
    </row>
    <row r="61" spans="1:4" ht="15.75" customHeight="1" x14ac:dyDescent="0.3">
      <c r="A61" s="26"/>
      <c r="B61" s="34"/>
      <c r="C61" s="20" t="s">
        <v>58</v>
      </c>
      <c r="D61" s="12">
        <v>6000</v>
      </c>
    </row>
    <row r="62" spans="1:4" ht="15.75" customHeight="1" x14ac:dyDescent="0.3">
      <c r="A62" s="26"/>
      <c r="B62" s="34" t="s">
        <v>59</v>
      </c>
      <c r="C62" s="20" t="s">
        <v>60</v>
      </c>
      <c r="D62" s="12">
        <v>81000</v>
      </c>
    </row>
    <row r="63" spans="1:4" ht="15.75" customHeight="1" x14ac:dyDescent="0.3">
      <c r="A63" s="26"/>
      <c r="B63" s="34" t="s">
        <v>61</v>
      </c>
      <c r="C63" s="20" t="s">
        <v>60</v>
      </c>
      <c r="D63" s="12">
        <v>72000</v>
      </c>
    </row>
    <row r="64" spans="1:4" ht="25.95" customHeight="1" x14ac:dyDescent="0.3">
      <c r="A64" s="26"/>
      <c r="B64" s="34" t="s">
        <v>62</v>
      </c>
      <c r="C64" s="20" t="s">
        <v>63</v>
      </c>
      <c r="D64" s="12">
        <v>60000</v>
      </c>
    </row>
    <row r="65" spans="1:4" ht="15.75" customHeight="1" x14ac:dyDescent="0.3">
      <c r="A65" s="26"/>
      <c r="B65" s="34" t="s">
        <v>64</v>
      </c>
      <c r="C65" s="20" t="s">
        <v>65</v>
      </c>
      <c r="D65" s="12">
        <v>272000</v>
      </c>
    </row>
    <row r="66" spans="1:4" ht="28.95" customHeight="1" x14ac:dyDescent="0.3">
      <c r="A66" s="26"/>
      <c r="B66" s="34" t="s">
        <v>66</v>
      </c>
      <c r="C66" s="20" t="s">
        <v>67</v>
      </c>
      <c r="D66" s="12">
        <v>31200</v>
      </c>
    </row>
    <row r="67" spans="1:4" ht="24" customHeight="1" x14ac:dyDescent="0.3">
      <c r="A67" s="26"/>
      <c r="B67" s="34"/>
      <c r="C67" s="20" t="s">
        <v>68</v>
      </c>
      <c r="D67" s="12">
        <v>107500</v>
      </c>
    </row>
    <row r="68" spans="1:4" ht="49.95" customHeight="1" x14ac:dyDescent="0.3">
      <c r="A68" s="26"/>
      <c r="B68" s="34" t="s">
        <v>69</v>
      </c>
      <c r="C68" s="20" t="s">
        <v>70</v>
      </c>
      <c r="D68" s="12">
        <v>255000</v>
      </c>
    </row>
    <row r="69" spans="1:4" ht="64.2" customHeight="1" x14ac:dyDescent="0.3">
      <c r="A69" s="26"/>
      <c r="B69" s="34"/>
      <c r="C69" s="20" t="s">
        <v>71</v>
      </c>
      <c r="D69" s="12">
        <v>65000</v>
      </c>
    </row>
    <row r="70" spans="1:4" ht="15.75" customHeight="1" x14ac:dyDescent="0.3">
      <c r="A70" s="26"/>
      <c r="B70" s="34" t="s">
        <v>72</v>
      </c>
      <c r="C70" s="20" t="s">
        <v>73</v>
      </c>
      <c r="D70" s="12">
        <v>10000</v>
      </c>
    </row>
    <row r="71" spans="1:4" ht="15.75" customHeight="1" x14ac:dyDescent="0.3">
      <c r="A71" s="26"/>
      <c r="B71" s="34"/>
      <c r="C71" s="20" t="s">
        <v>74</v>
      </c>
      <c r="D71" s="12">
        <v>0</v>
      </c>
    </row>
    <row r="72" spans="1:4" ht="15.75" customHeight="1" x14ac:dyDescent="0.3">
      <c r="A72" s="26"/>
      <c r="B72" s="34" t="s">
        <v>75</v>
      </c>
      <c r="C72" s="20" t="s">
        <v>76</v>
      </c>
      <c r="D72" s="12">
        <v>58020</v>
      </c>
    </row>
    <row r="73" spans="1:4" ht="15.75" customHeight="1" x14ac:dyDescent="0.3">
      <c r="A73" s="26"/>
      <c r="B73" s="34"/>
      <c r="C73" s="20" t="s">
        <v>77</v>
      </c>
      <c r="D73" s="12">
        <v>58020</v>
      </c>
    </row>
    <row r="74" spans="1:4" ht="15.75" customHeight="1" x14ac:dyDescent="0.3">
      <c r="A74" s="26"/>
      <c r="B74" s="34"/>
      <c r="C74" s="20" t="s">
        <v>78</v>
      </c>
      <c r="D74" s="12">
        <v>15000</v>
      </c>
    </row>
    <row r="75" spans="1:4" ht="15.75" customHeight="1" x14ac:dyDescent="0.3">
      <c r="A75" s="26"/>
      <c r="B75" s="34"/>
      <c r="C75" s="20" t="s">
        <v>79</v>
      </c>
      <c r="D75" s="12">
        <v>9000</v>
      </c>
    </row>
    <row r="76" spans="1:4" ht="15.75" customHeight="1" x14ac:dyDescent="0.3">
      <c r="A76" s="26"/>
      <c r="B76" s="35"/>
      <c r="C76" s="20" t="s">
        <v>80</v>
      </c>
      <c r="D76" s="14">
        <v>-24000</v>
      </c>
    </row>
    <row r="77" spans="1:4" ht="17.25" customHeight="1" x14ac:dyDescent="0.3">
      <c r="A77" s="21">
        <v>3</v>
      </c>
      <c r="B77" s="27" t="s">
        <v>81</v>
      </c>
      <c r="C77" s="27"/>
      <c r="D77" s="22">
        <f>SUM(D56:D76)</f>
        <v>5674040</v>
      </c>
    </row>
    <row r="78" spans="1:4" x14ac:dyDescent="0.3">
      <c r="A78" s="1"/>
    </row>
    <row r="79" spans="1:4" ht="63" customHeight="1" x14ac:dyDescent="0.3">
      <c r="A79" s="28" t="s">
        <v>82</v>
      </c>
      <c r="B79" s="28"/>
      <c r="C79" s="28"/>
      <c r="D79" s="28"/>
    </row>
    <row r="80" spans="1:4" ht="15.75" customHeight="1" x14ac:dyDescent="0.3">
      <c r="A80" s="29" t="s">
        <v>83</v>
      </c>
      <c r="B80" s="29"/>
      <c r="C80" s="29"/>
      <c r="D80" s="29"/>
    </row>
    <row r="81" spans="1:4" ht="15.75" customHeight="1" x14ac:dyDescent="0.3">
      <c r="A81" s="23">
        <v>1</v>
      </c>
      <c r="B81" s="19" t="s">
        <v>84</v>
      </c>
      <c r="C81" s="13" t="s">
        <v>85</v>
      </c>
      <c r="D81" s="24">
        <f>D77*0.15</f>
        <v>851106</v>
      </c>
    </row>
    <row r="82" spans="1:4" ht="31.5" customHeight="1" x14ac:dyDescent="0.3">
      <c r="A82" s="23">
        <v>2</v>
      </c>
      <c r="B82" s="19" t="s">
        <v>88</v>
      </c>
      <c r="C82" s="13" t="s">
        <v>86</v>
      </c>
      <c r="D82" s="24">
        <f>D77*0.8</f>
        <v>4539232</v>
      </c>
    </row>
    <row r="83" spans="1:4" ht="15.75" customHeight="1" x14ac:dyDescent="0.3">
      <c r="A83" s="23">
        <v>3</v>
      </c>
      <c r="B83" s="19" t="s">
        <v>89</v>
      </c>
      <c r="C83" s="13" t="s">
        <v>87</v>
      </c>
      <c r="D83" s="24">
        <f>D77*0.05</f>
        <v>283702</v>
      </c>
    </row>
    <row r="84" spans="1:4" ht="15.75" customHeight="1" x14ac:dyDescent="0.3">
      <c r="A84" s="25"/>
      <c r="B84" s="25"/>
      <c r="C84" s="25"/>
      <c r="D84" s="25"/>
    </row>
  </sheetData>
  <mergeCells count="19">
    <mergeCell ref="B68:B69"/>
    <mergeCell ref="B70:B71"/>
    <mergeCell ref="B72:B76"/>
    <mergeCell ref="A58:A76"/>
    <mergeCell ref="B77:C77"/>
    <mergeCell ref="A79:D79"/>
    <mergeCell ref="A80:D80"/>
    <mergeCell ref="B30:C30"/>
    <mergeCell ref="A31:A55"/>
    <mergeCell ref="B31:C31"/>
    <mergeCell ref="B56:C56"/>
    <mergeCell ref="B57:C57"/>
    <mergeCell ref="B58"/>
    <mergeCell ref="B59:B61"/>
    <mergeCell ref="B62"/>
    <mergeCell ref="B63"/>
    <mergeCell ref="B64"/>
    <mergeCell ref="B65"/>
    <mergeCell ref="B66:B67"/>
  </mergeCells>
  <hyperlinks>
    <hyperlink ref="C2" r:id="rId1"/>
  </hyperlinks>
  <pageMargins left="0.7" right="0.7" top="0.75" bottom="0.75" header="0.51181102362205" footer="0.51181102362205"/>
  <pageSetup paperSize="9"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KP</vt:lpstr>
      <vt:lpstr>KP!Область_печати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Пользователь</cp:lastModifiedBy>
  <dcterms:created xsi:type="dcterms:W3CDTF">2006-09-16T00:00:00Z</dcterms:created>
  <dcterms:modified xsi:type="dcterms:W3CDTF">2026-05-25T12:01:59Z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